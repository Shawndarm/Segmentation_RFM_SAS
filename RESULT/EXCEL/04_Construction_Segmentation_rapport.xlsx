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tau\Desktop\SAS S1\Projet\RESULT\EXCEL\"/>
    </mc:Choice>
  </mc:AlternateContent>
  <xr:revisionPtr revIDLastSave="0" documentId="13_ncr:1_{CBF6DFA7-FC54-476F-9B48-792EEB4AEC88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F" sheetId="1" r:id="rId1"/>
    <sheet name="RFM" sheetId="2" r:id="rId2"/>
  </sheets>
  <definedNames>
    <definedName name="_RF">RF!$A$1:$D$10</definedName>
    <definedName name="_RFM">RFM!$A$1:$D$10</definedName>
  </definedNames>
  <calcPr calcId="191029"/>
  <pivotCaches>
    <pivotCache cacheId="4" r:id="rId3"/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J17" i="1"/>
  <c r="H17" i="1"/>
  <c r="F17" i="1"/>
</calcChain>
</file>

<file path=xl/sharedStrings.xml><?xml version="1.0" encoding="utf-8"?>
<sst xmlns="http://schemas.openxmlformats.org/spreadsheetml/2006/main" count="100" uniqueCount="37">
  <si>
    <t>SEG_RECENCE</t>
  </si>
  <si>
    <t>SEG_FREQUENCE</t>
  </si>
  <si>
    <t>COUNT</t>
  </si>
  <si>
    <t>PERCENT</t>
  </si>
  <si>
    <t>R1</t>
  </si>
  <si>
    <t>F1</t>
  </si>
  <si>
    <t>F2</t>
  </si>
  <si>
    <t>F3</t>
  </si>
  <si>
    <t>R2</t>
  </si>
  <si>
    <t>R3</t>
  </si>
  <si>
    <t>Étiquettes de colonnes</t>
  </si>
  <si>
    <t>Total général</t>
  </si>
  <si>
    <t>Étiquettes de lignes</t>
  </si>
  <si>
    <t>Somme de COUNT</t>
  </si>
  <si>
    <t>RF</t>
  </si>
  <si>
    <t>RF1</t>
  </si>
  <si>
    <t>RF2</t>
  </si>
  <si>
    <t>RF3</t>
  </si>
  <si>
    <t>LEGENDE</t>
  </si>
  <si>
    <t>SEG_RF</t>
  </si>
  <si>
    <t>SEG_MONTANT</t>
  </si>
  <si>
    <t>M1</t>
  </si>
  <si>
    <t>M2</t>
  </si>
  <si>
    <t>M3</t>
  </si>
  <si>
    <t>RFM</t>
  </si>
  <si>
    <t>Segments</t>
  </si>
  <si>
    <t>Distribution</t>
  </si>
  <si>
    <t>Total</t>
  </si>
  <si>
    <t>RFM1</t>
  </si>
  <si>
    <t>RFM2</t>
  </si>
  <si>
    <t>RFM3</t>
  </si>
  <si>
    <t>RFM4</t>
  </si>
  <si>
    <t>RFM5</t>
  </si>
  <si>
    <t>RFM6</t>
  </si>
  <si>
    <t>RFM7</t>
  </si>
  <si>
    <t>RFM8</t>
  </si>
  <si>
    <t>RFM9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</si>
</sst>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7F00FF"/>
        <bgColor indexed="64"/>
      </patternFill>
    </fill>
    <fill>
      <patternFill patternType="solid">
        <fgColor rgb="FFFFAA00"/>
        <bgColor indexed="64"/>
      </patternFill>
    </fill>
    <fill>
      <patternFill patternType="solid">
        <fgColor rgb="FF00FFAA"/>
        <bgColor indexed="64"/>
      </patternFill>
    </fill>
    <fill>
      <patternFill patternType="solid">
        <fgColor rgb="FF00AAFF"/>
        <bgColor indexed="64"/>
      </patternFill>
    </fill>
    <fill>
      <patternFill patternType="solid">
        <fgColor rgb="FFAA00FF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0" fontId="2" fillId="0" borderId="0" xfId="0" applyNumberFormat="1" applyFont="1"/>
    <xf numFmtId="10" fontId="3" fillId="2" borderId="0" xfId="0" applyNumberFormat="1" applyFont="1" applyFill="1"/>
    <xf numFmtId="10" fontId="3" fillId="3" borderId="0" xfId="0" applyNumberFormat="1" applyFont="1" applyFill="1"/>
    <xf numFmtId="10" fontId="3" fillId="4" borderId="0" xfId="0" applyNumberFormat="1" applyFont="1" applyFill="1"/>
    <xf numFmtId="0" fontId="1" fillId="5" borderId="0" xfId="0" applyFont="1" applyFill="1"/>
    <xf numFmtId="10" fontId="2" fillId="6" borderId="0" xfId="0" applyNumberFormat="1" applyFont="1" applyFill="1"/>
    <xf numFmtId="10" fontId="2" fillId="7" borderId="0" xfId="0" applyNumberFormat="1" applyFont="1" applyFill="1"/>
    <xf numFmtId="10" fontId="1" fillId="8" borderId="0" xfId="0" applyNumberFormat="1" applyFont="1" applyFill="1"/>
    <xf numFmtId="10" fontId="1" fillId="9" borderId="0" xfId="0" applyNumberFormat="1" applyFont="1" applyFill="1"/>
    <xf numFmtId="10" fontId="2" fillId="10" borderId="0" xfId="0" applyNumberFormat="1" applyFont="1" applyFill="1"/>
    <xf numFmtId="10" fontId="2" fillId="11" borderId="0" xfId="0" applyNumberFormat="1" applyFont="1" applyFill="1"/>
    <xf numFmtId="10" fontId="1" fillId="12" borderId="0" xfId="0" applyNumberFormat="1" applyFont="1" applyFill="1"/>
    <xf numFmtId="10" fontId="1" fillId="13" borderId="0" xfId="0" applyNumberFormat="1" applyFont="1" applyFill="1"/>
    <xf numFmtId="10" fontId="2" fillId="14" borderId="0" xfId="0" applyNumberFormat="1" applyFont="1" applyFill="1"/>
    <xf numFmtId="10" fontId="1" fillId="5" borderId="0" xfId="0" applyNumberFormat="1" applyFont="1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F00FF"/>
      <color rgb="FFFF00AA"/>
      <color rgb="FFAA00FF"/>
      <color rgb="FF0000FF"/>
      <color rgb="FF00AAFF"/>
      <color rgb="FF00FFAA"/>
      <color rgb="FF00FF00"/>
      <color rgb="FFAAFF00"/>
      <color rgb="FFFF0000"/>
      <color rgb="FFFFA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land Dutauziet" refreshedDate="46020.072224074072" createdVersion="8" refreshedVersion="8" minRefreshableVersion="3" recordCount="10" xr:uid="{16C91DD7-64A7-49E4-B794-84A3163E4D62}">
  <cacheSource type="worksheet">
    <worksheetSource ref="A1:D1048576" sheet="RF"/>
  </cacheSource>
  <cacheFields count="4">
    <cacheField name="SEG_RECENCE" numFmtId="0">
      <sharedItems containsBlank="1" count="4">
        <s v="R1"/>
        <s v="R2"/>
        <s v="R3"/>
        <m/>
      </sharedItems>
    </cacheField>
    <cacheField name="SEG_FREQUENCE" numFmtId="0">
      <sharedItems containsBlank="1" count="4">
        <s v="F1"/>
        <s v="F2"/>
        <s v="F3"/>
        <m/>
      </sharedItems>
    </cacheField>
    <cacheField name="COUNT" numFmtId="0">
      <sharedItems containsString="0" containsBlank="1" containsNumber="1" containsInteger="1" minValue="189" maxValue="892"/>
    </cacheField>
    <cacheField name="PERCENT" numFmtId="0">
      <sharedItems containsString="0" containsBlank="1" containsNumber="1" minValue="4.5042897998093423" maxValue="21.25834127740705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land Dutauziet" refreshedDate="46020.092374768516" createdVersion="8" refreshedVersion="8" minRefreshableVersion="3" recordCount="10" xr:uid="{72CD0E98-4DB4-4B23-9E22-F531ADB71FED}">
  <cacheSource type="worksheet">
    <worksheetSource ref="A1:D1048576" sheet="RFM"/>
  </cacheSource>
  <cacheFields count="4">
    <cacheField name="SEG_RF" numFmtId="0">
      <sharedItems containsBlank="1" count="4">
        <s v="RF1"/>
        <s v="RF2"/>
        <s v="RF3"/>
        <m/>
      </sharedItems>
    </cacheField>
    <cacheField name="SEG_MONTANT" numFmtId="0">
      <sharedItems containsBlank="1" count="4">
        <s v="M1"/>
        <s v="M2"/>
        <s v="M3"/>
        <m/>
      </sharedItems>
    </cacheField>
    <cacheField name="COUNT" numFmtId="0">
      <sharedItems containsString="0" containsBlank="1" containsNumber="1" containsInteger="1" minValue="356" maxValue="604"/>
    </cacheField>
    <cacheField name="PERCENT" numFmtId="0">
      <sharedItems containsString="0" containsBlank="1" containsNumber="1" minValue="8.4842707340324122" maxValue="14.3946615824594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892"/>
    <n v="21.258341277407055"/>
  </r>
  <r>
    <x v="0"/>
    <x v="1"/>
    <n v="556"/>
    <n v="13.25071496663489"/>
  </r>
  <r>
    <x v="0"/>
    <x v="2"/>
    <n v="189"/>
    <n v="4.5042897998093423"/>
  </r>
  <r>
    <x v="1"/>
    <x v="0"/>
    <n v="411"/>
    <n v="9.7950428979980941"/>
  </r>
  <r>
    <x v="1"/>
    <x v="1"/>
    <n v="455"/>
    <n v="10.843660629170639"/>
  </r>
  <r>
    <x v="1"/>
    <x v="2"/>
    <n v="344"/>
    <n v="8.1982840800762631"/>
  </r>
  <r>
    <x v="2"/>
    <x v="0"/>
    <n v="321"/>
    <n v="7.6501429933269778"/>
  </r>
  <r>
    <x v="2"/>
    <x v="1"/>
    <n v="478"/>
    <n v="11.391801715919923"/>
  </r>
  <r>
    <x v="2"/>
    <x v="2"/>
    <n v="550"/>
    <n v="13.107721639656816"/>
  </r>
  <r>
    <x v="3"/>
    <x v="3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n v="604"/>
    <n v="14.394661582459484"/>
  </r>
  <r>
    <x v="0"/>
    <x v="1"/>
    <n v="406"/>
    <n v="9.6758817921830307"/>
  </r>
  <r>
    <x v="0"/>
    <x v="2"/>
    <n v="438"/>
    <n v="10.438512869399428"/>
  </r>
  <r>
    <x v="1"/>
    <x v="0"/>
    <n v="543"/>
    <n v="12.940896091515729"/>
  </r>
  <r>
    <x v="1"/>
    <x v="1"/>
    <n v="413"/>
    <n v="9.8427073403241181"/>
  </r>
  <r>
    <x v="1"/>
    <x v="2"/>
    <n v="420"/>
    <n v="10.009532888465206"/>
  </r>
  <r>
    <x v="2"/>
    <x v="0"/>
    <n v="356"/>
    <n v="8.4842707340324122"/>
  </r>
  <r>
    <x v="2"/>
    <x v="1"/>
    <n v="499"/>
    <n v="11.892278360343184"/>
  </r>
  <r>
    <x v="2"/>
    <x v="2"/>
    <n v="517"/>
    <n v="12.321258341277407"/>
  </r>
  <r>
    <x v="3"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DCA58C-C4B2-459B-BA06-F743718C4EC4}" name="Tableau croisé dynamique4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F2:J7" firstHeaderRow="1" firstDataRow="2" firstDataCol="1"/>
  <pivotFields count="4">
    <pivotField axis="axisRow" showAll="0">
      <items count="5">
        <item x="0"/>
        <item x="1"/>
        <item x="2"/>
        <item h="1" x="3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COUNT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74D85C-478C-4FE0-A7DA-02CEAECBEAF5}" name="Tableau croisé dynamique1" cacheId="5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F2:J7" firstHeaderRow="1" firstDataRow="2" firstDataCol="1"/>
  <pivotFields count="4"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5">
        <item x="0"/>
        <item x="1"/>
        <item x="2"/>
        <item h="1" x="3"/>
        <item t="default"/>
      </items>
    </pivotField>
    <pivotField dataField="1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omme de COUNT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workbookViewId="0">
      <selection activeCell="J26" sqref="J26"/>
    </sheetView>
  </sheetViews>
  <sheetFormatPr baseColWidth="10" defaultColWidth="9.06640625" defaultRowHeight="14.25" x14ac:dyDescent="0.45"/>
  <cols>
    <col min="1" max="1" width="12" customWidth="1"/>
    <col min="2" max="2" width="14" customWidth="1"/>
    <col min="3" max="4" width="13" customWidth="1"/>
    <col min="6" max="6" width="12.86328125" customWidth="1"/>
    <col min="7" max="7" width="11.796875" customWidth="1"/>
    <col min="8" max="8" width="10.86328125" customWidth="1"/>
    <col min="9" max="9" width="10.9296875" customWidth="1"/>
    <col min="10" max="11" width="11.3320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</row>
    <row r="2" spans="1:10" x14ac:dyDescent="0.45">
      <c r="A2" t="s">
        <v>4</v>
      </c>
      <c r="B2" t="s">
        <v>5</v>
      </c>
      <c r="C2">
        <v>892</v>
      </c>
      <c r="D2">
        <v>21.258341277407055</v>
      </c>
      <c r="F2" s="1" t="s">
        <v>13</v>
      </c>
      <c r="G2" s="1" t="s">
        <v>10</v>
      </c>
    </row>
    <row r="3" spans="1:10" x14ac:dyDescent="0.45">
      <c r="A3" t="s">
        <v>4</v>
      </c>
      <c r="B3" t="s">
        <v>6</v>
      </c>
      <c r="C3">
        <v>556</v>
      </c>
      <c r="D3">
        <v>13.25071496663489</v>
      </c>
      <c r="F3" s="1" t="s">
        <v>12</v>
      </c>
      <c r="G3" t="s">
        <v>5</v>
      </c>
      <c r="H3" t="s">
        <v>6</v>
      </c>
      <c r="I3" t="s">
        <v>7</v>
      </c>
      <c r="J3" t="s">
        <v>11</v>
      </c>
    </row>
    <row r="4" spans="1:10" x14ac:dyDescent="0.45">
      <c r="A4" t="s">
        <v>4</v>
      </c>
      <c r="B4" t="s">
        <v>7</v>
      </c>
      <c r="C4">
        <v>189</v>
      </c>
      <c r="D4">
        <v>4.5042897998093423</v>
      </c>
      <c r="F4" s="2" t="s">
        <v>4</v>
      </c>
      <c r="G4" s="3">
        <v>0.21258341277407056</v>
      </c>
      <c r="H4" s="3">
        <v>0.13250714966634891</v>
      </c>
      <c r="I4" s="3">
        <v>4.5042897998093426E-2</v>
      </c>
      <c r="J4" s="3">
        <v>0.39013346043851288</v>
      </c>
    </row>
    <row r="5" spans="1:10" x14ac:dyDescent="0.45">
      <c r="A5" t="s">
        <v>8</v>
      </c>
      <c r="B5" t="s">
        <v>5</v>
      </c>
      <c r="C5">
        <v>411</v>
      </c>
      <c r="D5">
        <v>9.7950428979980941</v>
      </c>
      <c r="F5" s="2" t="s">
        <v>8</v>
      </c>
      <c r="G5" s="3">
        <v>9.7950428979980936E-2</v>
      </c>
      <c r="H5" s="3">
        <v>0.10843660629170639</v>
      </c>
      <c r="I5" s="3">
        <v>8.1982840800762624E-2</v>
      </c>
      <c r="J5" s="3">
        <v>0.28836987607244996</v>
      </c>
    </row>
    <row r="6" spans="1:10" x14ac:dyDescent="0.45">
      <c r="A6" t="s">
        <v>8</v>
      </c>
      <c r="B6" t="s">
        <v>6</v>
      </c>
      <c r="C6">
        <v>455</v>
      </c>
      <c r="D6">
        <v>10.843660629170639</v>
      </c>
      <c r="F6" s="2" t="s">
        <v>9</v>
      </c>
      <c r="G6" s="3">
        <v>7.6501429933269777E-2</v>
      </c>
      <c r="H6" s="3">
        <v>0.11391801715919923</v>
      </c>
      <c r="I6" s="3">
        <v>0.13107721639656816</v>
      </c>
      <c r="J6" s="3">
        <v>0.32149666348903716</v>
      </c>
    </row>
    <row r="7" spans="1:10" x14ac:dyDescent="0.45">
      <c r="A7" t="s">
        <v>8</v>
      </c>
      <c r="B7" t="s">
        <v>7</v>
      </c>
      <c r="C7">
        <v>344</v>
      </c>
      <c r="D7">
        <v>8.1982840800762631</v>
      </c>
      <c r="F7" s="2" t="s">
        <v>11</v>
      </c>
      <c r="G7" s="3">
        <v>0.38703527168732127</v>
      </c>
      <c r="H7" s="3">
        <v>0.35486177311725453</v>
      </c>
      <c r="I7" s="3">
        <v>0.2581029551954242</v>
      </c>
      <c r="J7" s="3">
        <v>1</v>
      </c>
    </row>
    <row r="8" spans="1:10" x14ac:dyDescent="0.45">
      <c r="A8" t="s">
        <v>9</v>
      </c>
      <c r="B8" t="s">
        <v>5</v>
      </c>
      <c r="C8">
        <v>321</v>
      </c>
      <c r="D8">
        <v>7.6501429933269778</v>
      </c>
    </row>
    <row r="9" spans="1:10" x14ac:dyDescent="0.45">
      <c r="A9" t="s">
        <v>9</v>
      </c>
      <c r="B9" t="s">
        <v>6</v>
      </c>
      <c r="C9">
        <v>478</v>
      </c>
      <c r="D9">
        <v>11.391801715919923</v>
      </c>
      <c r="F9" s="12" t="s">
        <v>14</v>
      </c>
      <c r="G9" s="12" t="s">
        <v>5</v>
      </c>
      <c r="H9" s="12" t="s">
        <v>6</v>
      </c>
      <c r="I9" s="12" t="s">
        <v>7</v>
      </c>
      <c r="J9" s="12" t="s">
        <v>11</v>
      </c>
    </row>
    <row r="10" spans="1:10" x14ac:dyDescent="0.45">
      <c r="A10" t="s">
        <v>9</v>
      </c>
      <c r="B10" t="s">
        <v>7</v>
      </c>
      <c r="C10">
        <v>550</v>
      </c>
      <c r="D10">
        <v>13.107721639656816</v>
      </c>
      <c r="F10" s="12" t="s">
        <v>4</v>
      </c>
      <c r="G10" s="9">
        <v>0.21258341277407056</v>
      </c>
      <c r="H10" s="9">
        <v>0.13250714966634891</v>
      </c>
      <c r="I10" s="10">
        <v>4.5042897998093426E-2</v>
      </c>
      <c r="J10" s="8">
        <v>0.39013346043851288</v>
      </c>
    </row>
    <row r="11" spans="1:10" x14ac:dyDescent="0.45">
      <c r="F11" s="12" t="s">
        <v>8</v>
      </c>
      <c r="G11" s="10">
        <v>9.7950428979980936E-2</v>
      </c>
      <c r="H11" s="10">
        <v>0.10843660629170639</v>
      </c>
      <c r="I11" s="11">
        <v>8.1982840800762624E-2</v>
      </c>
      <c r="J11" s="8">
        <v>0.28836987607244996</v>
      </c>
    </row>
    <row r="12" spans="1:10" x14ac:dyDescent="0.45">
      <c r="F12" s="12" t="s">
        <v>9</v>
      </c>
      <c r="G12" s="10">
        <v>7.6501429933269777E-2</v>
      </c>
      <c r="H12" s="11">
        <v>0.11391801715919923</v>
      </c>
      <c r="I12" s="11">
        <v>0.13107721639656816</v>
      </c>
      <c r="J12" s="8">
        <v>0.32149666348903716</v>
      </c>
    </row>
    <row r="13" spans="1:10" x14ac:dyDescent="0.45">
      <c r="F13" s="12" t="s">
        <v>11</v>
      </c>
      <c r="G13" s="8">
        <v>0.38703527168732127</v>
      </c>
      <c r="H13" s="8">
        <v>0.35486177311725453</v>
      </c>
      <c r="I13" s="8">
        <v>0.2581029551954242</v>
      </c>
      <c r="J13" s="8">
        <v>1</v>
      </c>
    </row>
    <row r="14" spans="1:10" ht="14.65" thickBot="1" x14ac:dyDescent="0.5"/>
    <row r="15" spans="1:10" ht="14.65" thickBot="1" x14ac:dyDescent="0.5">
      <c r="F15" s="23" t="s">
        <v>18</v>
      </c>
      <c r="G15" s="24"/>
      <c r="H15" s="24"/>
      <c r="I15" s="24"/>
      <c r="J15" s="25"/>
    </row>
    <row r="16" spans="1:10" x14ac:dyDescent="0.45">
      <c r="F16" s="5" t="s">
        <v>15</v>
      </c>
      <c r="G16" s="4"/>
      <c r="H16" s="6" t="s">
        <v>16</v>
      </c>
      <c r="I16" s="4"/>
      <c r="J16" s="7" t="s">
        <v>17</v>
      </c>
    </row>
    <row r="17" spans="6:10" x14ac:dyDescent="0.45">
      <c r="F17" s="8">
        <f>G10+H10</f>
        <v>0.34509056244041947</v>
      </c>
      <c r="G17" s="4"/>
      <c r="H17" s="8">
        <f>I10+G11+H11+G12</f>
        <v>0.3279313632030505</v>
      </c>
      <c r="I17" s="4"/>
      <c r="J17" s="8">
        <f>I11+H12+I12</f>
        <v>0.32697807435653004</v>
      </c>
    </row>
    <row r="19" spans="6:10" x14ac:dyDescent="0.45">
      <c r="J19" s="3"/>
    </row>
    <row r="20" spans="6:10" x14ac:dyDescent="0.45">
      <c r="J20" s="3"/>
    </row>
  </sheetData>
  <mergeCells count="1">
    <mergeCell ref="F15:J15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tabSelected="1" workbookViewId="0">
      <selection activeCell="J20" sqref="J20"/>
    </sheetView>
  </sheetViews>
  <sheetFormatPr baseColWidth="10" defaultColWidth="9.06640625" defaultRowHeight="14.25" x14ac:dyDescent="0.45"/>
  <cols>
    <col min="1" max="1" width="7" customWidth="1"/>
    <col min="2" max="2" width="13.1328125" bestFit="1" customWidth="1"/>
    <col min="3" max="4" width="13" customWidth="1"/>
    <col min="6" max="6" width="13.86328125" customWidth="1"/>
    <col min="7" max="7" width="13.06640625" customWidth="1"/>
    <col min="8" max="8" width="12" customWidth="1"/>
    <col min="9" max="9" width="12.46484375" customWidth="1"/>
    <col min="10" max="10" width="12.3984375" customWidth="1"/>
    <col min="11" max="11" width="11.33203125" bestFit="1" customWidth="1"/>
  </cols>
  <sheetData>
    <row r="1" spans="1:10" x14ac:dyDescent="0.45">
      <c r="A1" t="s">
        <v>19</v>
      </c>
      <c r="B1" t="s">
        <v>20</v>
      </c>
      <c r="C1" t="s">
        <v>2</v>
      </c>
      <c r="D1" t="s">
        <v>3</v>
      </c>
    </row>
    <row r="2" spans="1:10" x14ac:dyDescent="0.45">
      <c r="A2" t="s">
        <v>15</v>
      </c>
      <c r="B2" t="s">
        <v>21</v>
      </c>
      <c r="C2">
        <v>604</v>
      </c>
      <c r="D2">
        <v>14.394661582459484</v>
      </c>
      <c r="F2" s="1" t="s">
        <v>13</v>
      </c>
      <c r="G2" s="1" t="s">
        <v>10</v>
      </c>
    </row>
    <row r="3" spans="1:10" x14ac:dyDescent="0.45">
      <c r="A3" t="s">
        <v>15</v>
      </c>
      <c r="B3" t="s">
        <v>22</v>
      </c>
      <c r="C3">
        <v>406</v>
      </c>
      <c r="D3">
        <v>9.6758817921830307</v>
      </c>
      <c r="F3" s="1" t="s">
        <v>12</v>
      </c>
      <c r="G3" t="s">
        <v>21</v>
      </c>
      <c r="H3" t="s">
        <v>22</v>
      </c>
      <c r="I3" t="s">
        <v>23</v>
      </c>
      <c r="J3" t="s">
        <v>11</v>
      </c>
    </row>
    <row r="4" spans="1:10" x14ac:dyDescent="0.45">
      <c r="A4" t="s">
        <v>15</v>
      </c>
      <c r="B4" t="s">
        <v>23</v>
      </c>
      <c r="C4">
        <v>438</v>
      </c>
      <c r="D4">
        <v>10.438512869399428</v>
      </c>
      <c r="F4" s="2" t="s">
        <v>15</v>
      </c>
      <c r="G4" s="3">
        <v>0.14394661582459486</v>
      </c>
      <c r="H4" s="3">
        <v>9.6758817921830317E-2</v>
      </c>
      <c r="I4" s="3">
        <v>0.10438512869399429</v>
      </c>
      <c r="J4" s="3">
        <v>0.34509056244041947</v>
      </c>
    </row>
    <row r="5" spans="1:10" x14ac:dyDescent="0.45">
      <c r="A5" t="s">
        <v>16</v>
      </c>
      <c r="B5" t="s">
        <v>21</v>
      </c>
      <c r="C5">
        <v>543</v>
      </c>
      <c r="D5">
        <v>12.940896091515729</v>
      </c>
      <c r="F5" s="2" t="s">
        <v>16</v>
      </c>
      <c r="G5" s="3">
        <v>0.1294089609151573</v>
      </c>
      <c r="H5" s="3">
        <v>9.842707340324118E-2</v>
      </c>
      <c r="I5" s="3">
        <v>0.10009532888465204</v>
      </c>
      <c r="J5" s="3">
        <v>0.3279313632030505</v>
      </c>
    </row>
    <row r="6" spans="1:10" x14ac:dyDescent="0.45">
      <c r="A6" t="s">
        <v>16</v>
      </c>
      <c r="B6" t="s">
        <v>22</v>
      </c>
      <c r="C6">
        <v>413</v>
      </c>
      <c r="D6">
        <v>9.8427073403241181</v>
      </c>
      <c r="F6" s="2" t="s">
        <v>17</v>
      </c>
      <c r="G6" s="3">
        <v>8.4842707340324119E-2</v>
      </c>
      <c r="H6" s="3">
        <v>0.11892278360343184</v>
      </c>
      <c r="I6" s="3">
        <v>0.12321258341277407</v>
      </c>
      <c r="J6" s="3">
        <v>0.32697807435653004</v>
      </c>
    </row>
    <row r="7" spans="1:10" x14ac:dyDescent="0.45">
      <c r="A7" t="s">
        <v>16</v>
      </c>
      <c r="B7" t="s">
        <v>23</v>
      </c>
      <c r="C7">
        <v>420</v>
      </c>
      <c r="D7">
        <v>10.009532888465206</v>
      </c>
      <c r="F7" s="2" t="s">
        <v>11</v>
      </c>
      <c r="G7" s="3">
        <v>0.35819828408007626</v>
      </c>
      <c r="H7" s="3">
        <v>0.31410867492850336</v>
      </c>
      <c r="I7" s="3">
        <v>0.32769304099142038</v>
      </c>
      <c r="J7" s="3">
        <v>1</v>
      </c>
    </row>
    <row r="8" spans="1:10" x14ac:dyDescent="0.45">
      <c r="A8" t="s">
        <v>17</v>
      </c>
      <c r="B8" t="s">
        <v>21</v>
      </c>
      <c r="C8">
        <v>356</v>
      </c>
      <c r="D8">
        <v>8.4842707340324122</v>
      </c>
    </row>
    <row r="9" spans="1:10" x14ac:dyDescent="0.45">
      <c r="A9" t="s">
        <v>17</v>
      </c>
      <c r="B9" t="s">
        <v>22</v>
      </c>
      <c r="C9">
        <v>499</v>
      </c>
      <c r="D9">
        <v>11.892278360343184</v>
      </c>
      <c r="F9" s="12" t="s">
        <v>24</v>
      </c>
      <c r="G9" s="12" t="s">
        <v>21</v>
      </c>
      <c r="H9" s="12" t="s">
        <v>22</v>
      </c>
      <c r="I9" s="12" t="s">
        <v>23</v>
      </c>
      <c r="J9" s="12" t="s">
        <v>11</v>
      </c>
    </row>
    <row r="10" spans="1:10" x14ac:dyDescent="0.45">
      <c r="A10" t="s">
        <v>17</v>
      </c>
      <c r="B10" t="s">
        <v>23</v>
      </c>
      <c r="C10">
        <v>517</v>
      </c>
      <c r="D10">
        <v>12.321258341277407</v>
      </c>
      <c r="F10" s="12" t="s">
        <v>15</v>
      </c>
      <c r="G10" s="13">
        <v>0.14394661582459486</v>
      </c>
      <c r="H10" s="17">
        <v>9.6758817921830317E-2</v>
      </c>
      <c r="I10" s="14">
        <v>0.10438512869399429</v>
      </c>
      <c r="J10" s="8">
        <v>0.34509056244041947</v>
      </c>
    </row>
    <row r="11" spans="1:10" x14ac:dyDescent="0.45">
      <c r="F11" s="12" t="s">
        <v>16</v>
      </c>
      <c r="G11" s="21">
        <v>0.1294089609151573</v>
      </c>
      <c r="H11" s="18">
        <v>9.842707340324118E-2</v>
      </c>
      <c r="I11" s="19">
        <v>0.10009532888465204</v>
      </c>
      <c r="J11" s="8">
        <v>0.3279313632030505</v>
      </c>
    </row>
    <row r="12" spans="1:10" x14ac:dyDescent="0.45">
      <c r="F12" s="12" t="s">
        <v>17</v>
      </c>
      <c r="G12" s="15">
        <v>8.4842707340324119E-2</v>
      </c>
      <c r="H12" s="20">
        <v>0.11892278360343184</v>
      </c>
      <c r="I12" s="16">
        <v>0.12321258341277407</v>
      </c>
      <c r="J12" s="8">
        <v>0.32697807435653004</v>
      </c>
    </row>
    <row r="13" spans="1:10" x14ac:dyDescent="0.45">
      <c r="F13" s="12" t="s">
        <v>11</v>
      </c>
      <c r="G13" s="8">
        <v>0.35819828408007626</v>
      </c>
      <c r="H13" s="8">
        <v>0.31410867492850336</v>
      </c>
      <c r="I13" s="8">
        <v>0.32769304099142038</v>
      </c>
      <c r="J13" s="8">
        <v>1</v>
      </c>
    </row>
    <row r="15" spans="1:10" x14ac:dyDescent="0.45">
      <c r="F15" s="12" t="s">
        <v>25</v>
      </c>
      <c r="G15" s="12" t="s">
        <v>26</v>
      </c>
    </row>
    <row r="16" spans="1:10" x14ac:dyDescent="0.45">
      <c r="F16" s="13" t="s">
        <v>28</v>
      </c>
      <c r="G16" s="13">
        <v>0.14394661582459486</v>
      </c>
    </row>
    <row r="17" spans="6:7" x14ac:dyDescent="0.45">
      <c r="F17" s="17" t="s">
        <v>29</v>
      </c>
      <c r="G17" s="17">
        <v>9.6758817921830317E-2</v>
      </c>
    </row>
    <row r="18" spans="6:7" x14ac:dyDescent="0.45">
      <c r="F18" s="14" t="s">
        <v>30</v>
      </c>
      <c r="G18" s="14">
        <v>0.10438512869399429</v>
      </c>
    </row>
    <row r="19" spans="6:7" x14ac:dyDescent="0.45">
      <c r="F19" s="21" t="s">
        <v>31</v>
      </c>
      <c r="G19" s="21">
        <v>0.1294089609151573</v>
      </c>
    </row>
    <row r="20" spans="6:7" x14ac:dyDescent="0.45">
      <c r="F20" s="18" t="s">
        <v>32</v>
      </c>
      <c r="G20" s="18">
        <v>9.842707340324118E-2</v>
      </c>
    </row>
    <row r="21" spans="6:7" x14ac:dyDescent="0.45">
      <c r="F21" s="19" t="s">
        <v>33</v>
      </c>
      <c r="G21" s="19">
        <v>0.10009532888465204</v>
      </c>
    </row>
    <row r="22" spans="6:7" x14ac:dyDescent="0.45">
      <c r="F22" s="15" t="s">
        <v>34</v>
      </c>
      <c r="G22" s="15">
        <v>8.4842707340324119E-2</v>
      </c>
    </row>
    <row r="23" spans="6:7" x14ac:dyDescent="0.45">
      <c r="F23" s="20" t="s">
        <v>35</v>
      </c>
      <c r="G23" s="20">
        <v>0.11892278360343184</v>
      </c>
    </row>
    <row r="24" spans="6:7" x14ac:dyDescent="0.45">
      <c r="F24" s="16" t="s">
        <v>36</v>
      </c>
      <c r="G24" s="16">
        <v>0.12321258341277407</v>
      </c>
    </row>
    <row r="25" spans="6:7" x14ac:dyDescent="0.45">
      <c r="F25" s="12" t="s">
        <v>27</v>
      </c>
      <c r="G25" s="22">
        <f>SUM(G16:G24)</f>
        <v>1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RF</vt:lpstr>
      <vt:lpstr>RFM</vt:lpstr>
      <vt:lpstr>_RF</vt:lpstr>
      <vt:lpstr>_RFM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Roland Dutauziet</cp:lastModifiedBy>
  <dcterms:created xsi:type="dcterms:W3CDTF">2025-12-29T00:43:34Z</dcterms:created>
  <dcterms:modified xsi:type="dcterms:W3CDTF">2025-12-29T13:28:11Z</dcterms:modified>
</cp:coreProperties>
</file>